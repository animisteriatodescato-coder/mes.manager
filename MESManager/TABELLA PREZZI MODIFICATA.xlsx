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du\Desktop\"/>
    </mc:Choice>
  </mc:AlternateContent>
  <xr:revisionPtr revIDLastSave="0" documentId="13_ncr:1_{A985C11C-DD54-43CF-A773-605C9DB69BE6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DISTRIBUT" sheetId="1" r:id="rId1"/>
    <sheet name="CERABEADS" sheetId="3" r:id="rId2"/>
    <sheet name="SABBIA NORM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zgTe+CLXao0EtuLfXO37DHdg/fEgDdZUJl52vHkoyHk="/>
    </ext>
  </extLst>
</workbook>
</file>

<file path=xl/calcChain.xml><?xml version="1.0" encoding="utf-8"?>
<calcChain xmlns="http://schemas.openxmlformats.org/spreadsheetml/2006/main">
  <c r="B27" i="1" l="1"/>
  <c r="D30" i="3"/>
  <c r="B30" i="3"/>
  <c r="D27" i="3"/>
  <c r="B27" i="3"/>
  <c r="D24" i="3"/>
  <c r="D21" i="3"/>
  <c r="B16" i="3"/>
  <c r="D16" i="3" s="1"/>
  <c r="C13" i="3"/>
  <c r="B13" i="3"/>
  <c r="B10" i="3"/>
  <c r="D10" i="3" s="1"/>
  <c r="D30" i="2"/>
  <c r="B30" i="2"/>
  <c r="D27" i="2"/>
  <c r="B27" i="2"/>
  <c r="D24" i="2"/>
  <c r="D21" i="2"/>
  <c r="B16" i="2"/>
  <c r="D16" i="2" s="1"/>
  <c r="C13" i="2"/>
  <c r="B13" i="2"/>
  <c r="B10" i="2"/>
  <c r="D10" i="2" s="1"/>
  <c r="B10" i="1"/>
  <c r="D10" i="1" s="1"/>
  <c r="D30" i="1"/>
  <c r="D27" i="1"/>
  <c r="D24" i="1"/>
  <c r="D21" i="1"/>
  <c r="B30" i="1"/>
  <c r="B16" i="1"/>
  <c r="D16" i="1" s="1"/>
  <c r="C13" i="1"/>
  <c r="B13" i="1"/>
  <c r="D13" i="2" l="1"/>
  <c r="D32" i="2"/>
  <c r="D32" i="3"/>
  <c r="D13" i="3"/>
  <c r="D18" i="3" s="1"/>
  <c r="D18" i="2"/>
  <c r="D13" i="1"/>
  <c r="D18" i="1" s="1"/>
  <c r="D32" i="1"/>
  <c r="F2" i="3" l="1"/>
  <c r="F2" i="2"/>
  <c r="G2" i="1"/>
</calcChain>
</file>

<file path=xl/sharedStrings.xml><?xml version="1.0" encoding="utf-8"?>
<sst xmlns="http://schemas.openxmlformats.org/spreadsheetml/2006/main" count="87" uniqueCount="23">
  <si>
    <t>PESO</t>
  </si>
  <si>
    <t>FIGURE</t>
  </si>
  <si>
    <t>PR. VENDITA</t>
  </si>
  <si>
    <t>LOTTO</t>
  </si>
  <si>
    <t>SPARI ORARI</t>
  </si>
  <si>
    <t>VERN ORARIA</t>
  </si>
  <si>
    <t>INCOLLAGGIO</t>
  </si>
  <si>
    <t>IMBALLO</t>
  </si>
  <si>
    <t>EURO ORA</t>
  </si>
  <si>
    <t>SPARI ORA</t>
  </si>
  <si>
    <t>TOT</t>
  </si>
  <si>
    <t>SABBIA €</t>
  </si>
  <si>
    <t>KG</t>
  </si>
  <si>
    <t>FIG.</t>
  </si>
  <si>
    <t xml:space="preserve">TOT </t>
  </si>
  <si>
    <t>COSTO ATT</t>
  </si>
  <si>
    <t>COSTO ANIMA</t>
  </si>
  <si>
    <t>VERNICIATURA</t>
  </si>
  <si>
    <t>V ORARIO</t>
  </si>
  <si>
    <t>VERNICE</t>
  </si>
  <si>
    <t>TOT VERN</t>
  </si>
  <si>
    <t>TOT ORA</t>
  </si>
  <si>
    <t>FUORI MACCHINA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</si>
</sst>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#,##0.00&quot; &quot;[$€]&quot; &quot;;&quot;-&quot;#,##0.00&quot; &quot;[$€]&quot; &quot;;&quot; -&quot;00&quot; &quot;[$€]&quot; &quot;;&quot; &quot;@&quot; &quot;"/>
  </numFmts>
  <fonts count="10">
    <font>
      <sz val="11"/>
      <color rgb="FF000000"/>
      <name val="Calibri"/>
      <scheme val="minor"/>
    </font>
    <font>
      <b/>
      <sz val="11"/>
      <color rgb="FF000000"/>
      <name val="Arial"/>
    </font>
    <font>
      <sz val="11"/>
      <color rgb="FF000000"/>
      <name val="Arial"/>
    </font>
    <font>
      <b/>
      <sz val="12"/>
      <color rgb="FF000000"/>
      <name val="Arial"/>
    </font>
    <font>
      <b/>
      <sz val="18"/>
      <color rgb="FF000000"/>
      <name val="Arial"/>
    </font>
    <font>
      <sz val="11"/>
      <name val="Calibri"/>
    </font>
    <font>
      <sz val="11"/>
      <color theme="1"/>
      <name val="Calibri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6" fillId="0" borderId="0" xfId="0" applyFont="1"/>
    <xf numFmtId="0" fontId="2" fillId="0" borderId="0" xfId="0" applyFont="1"/>
    <xf numFmtId="0" fontId="1" fillId="5" borderId="15" xfId="0" applyFont="1" applyFill="1" applyBorder="1"/>
    <xf numFmtId="0" fontId="2" fillId="5" borderId="15" xfId="0" applyFont="1" applyFill="1" applyBorder="1"/>
    <xf numFmtId="164" fontId="2" fillId="0" borderId="15" xfId="0" applyNumberFormat="1" applyFont="1" applyBorder="1"/>
    <xf numFmtId="0" fontId="2" fillId="0" borderId="15" xfId="0" applyFont="1" applyBorder="1"/>
    <xf numFmtId="164" fontId="1" fillId="3" borderId="15" xfId="0" applyNumberFormat="1" applyFont="1" applyFill="1" applyBorder="1"/>
    <xf numFmtId="0" fontId="1" fillId="4" borderId="15" xfId="0" applyFont="1" applyFill="1" applyBorder="1"/>
    <xf numFmtId="10" fontId="2" fillId="0" borderId="15" xfId="0" applyNumberFormat="1" applyFont="1" applyBorder="1"/>
    <xf numFmtId="0" fontId="1" fillId="3" borderId="15" xfId="0" applyFont="1" applyFill="1" applyBorder="1"/>
    <xf numFmtId="0" fontId="7" fillId="0" borderId="1" xfId="0" applyFont="1" applyBorder="1"/>
    <xf numFmtId="0" fontId="8" fillId="2" borderId="2" xfId="0" applyFont="1" applyFill="1" applyBorder="1"/>
    <xf numFmtId="0" fontId="7" fillId="0" borderId="3" xfId="0" applyFont="1" applyBorder="1"/>
    <xf numFmtId="0" fontId="8" fillId="2" borderId="4" xfId="0" applyFont="1" applyFill="1" applyBorder="1"/>
    <xf numFmtId="0" fontId="7" fillId="0" borderId="11" xfId="0" applyFont="1" applyBorder="1"/>
    <xf numFmtId="0" fontId="8" fillId="2" borderId="12" xfId="0" applyFont="1" applyFill="1" applyBorder="1"/>
    <xf numFmtId="0" fontId="8" fillId="4" borderId="2" xfId="0" applyFont="1" applyFill="1" applyBorder="1"/>
    <xf numFmtId="0" fontId="8" fillId="4" borderId="4" xfId="0" applyFont="1" applyFill="1" applyBorder="1"/>
    <xf numFmtId="0" fontId="7" fillId="0" borderId="13" xfId="0" applyFont="1" applyBorder="1"/>
    <xf numFmtId="0" fontId="8" fillId="4" borderId="14" xfId="0" applyFont="1" applyFill="1" applyBorder="1"/>
    <xf numFmtId="0" fontId="9" fillId="0" borderId="15" xfId="0" applyFont="1" applyBorder="1"/>
    <xf numFmtId="0" fontId="0" fillId="6" borderId="0" xfId="0" applyFill="1"/>
    <xf numFmtId="164" fontId="1" fillId="6" borderId="0" xfId="0" applyNumberFormat="1" applyFont="1" applyFill="1"/>
    <xf numFmtId="0" fontId="3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wrapText="1"/>
    </xf>
    <xf numFmtId="164" fontId="4" fillId="3" borderId="6" xfId="0" applyNumberFormat="1" applyFont="1" applyFill="1" applyBorder="1" applyAlignment="1">
      <alignment horizontal="left" vertical="center"/>
    </xf>
    <xf numFmtId="0" fontId="5" fillId="0" borderId="9" xfId="0" applyFont="1" applyBorder="1"/>
    <xf numFmtId="0" fontId="1" fillId="0" borderId="16" xfId="0" applyFont="1" applyBorder="1" applyAlignment="1">
      <alignment horizontal="center"/>
    </xf>
    <xf numFmtId="0" fontId="5" fillId="0" borderId="17" xfId="0" applyFont="1" applyBorder="1"/>
    <xf numFmtId="0" fontId="5" fillId="0" borderId="7" xfId="0" applyFont="1" applyBorder="1"/>
    <xf numFmtId="0" fontId="5" fillId="0" borderId="10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B1" sqref="B1"/>
    </sheetView>
  </sheetViews>
  <sheetFormatPr defaultColWidth="14.33203125" defaultRowHeight="15.05" customHeight="1"/>
  <cols>
    <col min="1" max="1" width="20.21875" customWidth="1"/>
    <col min="2" max="2" width="11.33203125" customWidth="1"/>
    <col min="3" max="3" width="8.88671875" customWidth="1"/>
    <col min="4" max="4" width="14" customWidth="1"/>
    <col min="5" max="5" width="1.109375" style="23" customWidth="1"/>
    <col min="6" max="6" width="12.6640625" customWidth="1"/>
    <col min="7" max="7" width="14.33203125" customWidth="1"/>
    <col min="8" max="25" width="8.88671875" customWidth="1"/>
  </cols>
  <sheetData>
    <row r="1" spans="1:7" ht="20.05" customHeight="1" thickBot="1">
      <c r="A1" s="12" t="s">
        <v>0</v>
      </c>
      <c r="B1" s="13">
        <v>0.45</v>
      </c>
    </row>
    <row r="2" spans="1:7" ht="20.05" customHeight="1">
      <c r="A2" s="14" t="s">
        <v>1</v>
      </c>
      <c r="B2" s="15">
        <v>1</v>
      </c>
      <c r="F2" s="25" t="s">
        <v>2</v>
      </c>
      <c r="G2" s="27">
        <f>D18+D32</f>
        <v>3.7123444444444442</v>
      </c>
    </row>
    <row r="3" spans="1:7" ht="20.05" customHeight="1" thickBot="1">
      <c r="A3" s="14" t="s">
        <v>3</v>
      </c>
      <c r="B3" s="15">
        <v>800</v>
      </c>
      <c r="F3" s="26"/>
      <c r="G3" s="28"/>
    </row>
    <row r="4" spans="1:7" ht="20.05" customHeight="1" thickBot="1">
      <c r="A4" s="16" t="s">
        <v>4</v>
      </c>
      <c r="B4" s="17">
        <v>45</v>
      </c>
    </row>
    <row r="5" spans="1:7" ht="20.05" customHeight="1">
      <c r="A5" s="12" t="s">
        <v>5</v>
      </c>
      <c r="B5" s="18">
        <v>100</v>
      </c>
      <c r="F5" s="1"/>
    </row>
    <row r="6" spans="1:7" ht="20.05" customHeight="1">
      <c r="A6" s="14" t="s">
        <v>6</v>
      </c>
      <c r="B6" s="19">
        <v>60</v>
      </c>
      <c r="F6" s="2"/>
    </row>
    <row r="7" spans="1:7" ht="20.05" customHeight="1" thickBot="1">
      <c r="A7" s="20" t="s">
        <v>7</v>
      </c>
      <c r="B7" s="21">
        <v>0</v>
      </c>
      <c r="D7" s="3"/>
      <c r="E7" s="24"/>
    </row>
    <row r="8" spans="1:7" ht="14.25" customHeight="1"/>
    <row r="9" spans="1:7" ht="14.25" customHeight="1">
      <c r="A9" s="4" t="s">
        <v>8</v>
      </c>
      <c r="B9" s="4" t="s">
        <v>9</v>
      </c>
      <c r="C9" s="5"/>
      <c r="D9" s="4" t="s">
        <v>10</v>
      </c>
    </row>
    <row r="10" spans="1:7" ht="14.25" customHeight="1">
      <c r="A10" s="6">
        <v>80</v>
      </c>
      <c r="B10" s="22">
        <f>B4</f>
        <v>45</v>
      </c>
      <c r="C10" s="7"/>
      <c r="D10" s="6">
        <f>A10/B10</f>
        <v>1.7777777777777777</v>
      </c>
    </row>
    <row r="11" spans="1:7" ht="14.25" customHeight="1"/>
    <row r="12" spans="1:7" ht="14.25" customHeight="1">
      <c r="A12" s="4" t="s">
        <v>11</v>
      </c>
      <c r="B12" s="4" t="s">
        <v>12</v>
      </c>
      <c r="C12" s="4" t="s">
        <v>13</v>
      </c>
      <c r="D12" s="4" t="s">
        <v>14</v>
      </c>
    </row>
    <row r="13" spans="1:7" ht="14.25" customHeight="1">
      <c r="A13" s="6">
        <v>1.3</v>
      </c>
      <c r="B13" s="7">
        <f>B1</f>
        <v>0.45</v>
      </c>
      <c r="C13" s="7">
        <f>B2</f>
        <v>1</v>
      </c>
      <c r="D13" s="7">
        <f>(A13*B13)/C13</f>
        <v>0.58500000000000008</v>
      </c>
    </row>
    <row r="14" spans="1:7" ht="14.25" customHeight="1"/>
    <row r="15" spans="1:7" ht="14.25" customHeight="1">
      <c r="A15" s="4" t="s">
        <v>15</v>
      </c>
      <c r="B15" s="4" t="s">
        <v>3</v>
      </c>
      <c r="C15" s="4"/>
      <c r="D15" s="4" t="s">
        <v>10</v>
      </c>
    </row>
    <row r="16" spans="1:7" ht="14.25" customHeight="1">
      <c r="A16" s="6">
        <v>150</v>
      </c>
      <c r="B16" s="7">
        <f>B3</f>
        <v>800</v>
      </c>
      <c r="C16" s="7"/>
      <c r="D16" s="6">
        <f>A16/B16</f>
        <v>0.1875</v>
      </c>
    </row>
    <row r="17" spans="1:4" ht="14.25" customHeight="1"/>
    <row r="18" spans="1:4" ht="14.25" customHeight="1">
      <c r="B18" s="29" t="s">
        <v>16</v>
      </c>
      <c r="C18" s="30"/>
      <c r="D18" s="8">
        <f>((D10+D13)/B2)+D16</f>
        <v>2.5502777777777776</v>
      </c>
    </row>
    <row r="19" spans="1:4" ht="14.25" customHeight="1"/>
    <row r="20" spans="1:4" ht="14.25" customHeight="1">
      <c r="A20" s="9" t="s">
        <v>19</v>
      </c>
      <c r="B20" s="9"/>
      <c r="C20" s="9"/>
      <c r="D20" s="9" t="s">
        <v>20</v>
      </c>
    </row>
    <row r="21" spans="1:4" ht="14.25" customHeight="1">
      <c r="A21" s="6">
        <v>4</v>
      </c>
      <c r="B21" s="10">
        <v>5.2999999999999999E-2</v>
      </c>
      <c r="C21" s="7"/>
      <c r="D21" s="6">
        <f>A21*B21*B1</f>
        <v>9.5399999999999999E-2</v>
      </c>
    </row>
    <row r="22" spans="1:4" ht="14.25" customHeight="1"/>
    <row r="23" spans="1:4" ht="14.25" customHeight="1">
      <c r="A23" s="9" t="s">
        <v>17</v>
      </c>
      <c r="B23" s="9" t="s">
        <v>18</v>
      </c>
      <c r="C23" s="9"/>
      <c r="D23" s="9" t="s">
        <v>20</v>
      </c>
    </row>
    <row r="24" spans="1:4" ht="14.25" customHeight="1">
      <c r="A24" s="6">
        <v>40</v>
      </c>
      <c r="B24" s="7"/>
      <c r="C24" s="7"/>
      <c r="D24" s="6">
        <f>IF(OR(B5="",B5=0),0,A24/B5)</f>
        <v>0.4</v>
      </c>
    </row>
    <row r="25" spans="1:4" ht="14.25" customHeight="1"/>
    <row r="26" spans="1:4" ht="14.25" customHeight="1">
      <c r="A26" s="9" t="s">
        <v>6</v>
      </c>
      <c r="B26" s="9" t="s">
        <v>21</v>
      </c>
      <c r="C26" s="9"/>
      <c r="D26" s="9"/>
    </row>
    <row r="27" spans="1:4" ht="14.25" customHeight="1">
      <c r="A27" s="6">
        <v>40</v>
      </c>
      <c r="B27" s="7">
        <f>B6</f>
        <v>60</v>
      </c>
      <c r="C27" s="7"/>
      <c r="D27" s="6">
        <f>IF(OR(B6="",B6=0),0,A27/B6)</f>
        <v>0.66666666666666663</v>
      </c>
    </row>
    <row r="28" spans="1:4" ht="14.25" customHeight="1"/>
    <row r="29" spans="1:4" ht="14.25" customHeight="1">
      <c r="A29" s="9" t="s">
        <v>7</v>
      </c>
      <c r="B29" s="9" t="s">
        <v>21</v>
      </c>
      <c r="C29" s="9"/>
      <c r="D29" s="9"/>
    </row>
    <row r="30" spans="1:4" ht="14.25" customHeight="1">
      <c r="A30" s="6">
        <v>40</v>
      </c>
      <c r="B30" s="7">
        <f>B7</f>
        <v>0</v>
      </c>
      <c r="C30" s="7"/>
      <c r="D30" s="6">
        <f>IF(OR(B7="",B7=0),0,A30/B7)</f>
        <v>0</v>
      </c>
    </row>
    <row r="31" spans="1:4" ht="14.25" customHeight="1"/>
    <row r="32" spans="1:4" ht="14.25" customHeight="1">
      <c r="B32" s="29" t="s">
        <v>22</v>
      </c>
      <c r="C32" s="30"/>
      <c r="D32" s="11">
        <f>SUM(D21+D24+D27+D30)</f>
        <v>1.1620666666666666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4">
    <mergeCell ref="F2:F3"/>
    <mergeCell ref="G2:G3"/>
    <mergeCell ref="B18:C18"/>
    <mergeCell ref="B32:C32"/>
  </mergeCells>
  <pageMargins left="0" right="0" top="0.39409448818897608" bottom="0.39409448818897608" header="0" footer="0"/>
  <pageSetup orientation="landscape"/>
  <headerFooter>
    <oddHeader>&amp;C&amp;A</oddHeader>
    <oddFooter>&amp;CPagina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5C68-CDC8-42CB-A7D9-F71A9CC78DE7}">
  <dimension ref="A1:G32"/>
  <sheetViews>
    <sheetView workbookViewId="0">
      <selection activeCell="G17" sqref="G17"/>
    </sheetView>
  </sheetViews>
  <sheetFormatPr defaultRowHeight="15.05"/>
  <cols>
    <col min="1" max="1" width="18.6640625" customWidth="1"/>
    <col min="2" max="2" width="13.88671875" customWidth="1"/>
    <col min="4" max="4" width="13.21875" customWidth="1"/>
    <col min="5" max="5" width="14" customWidth="1"/>
  </cols>
  <sheetData>
    <row r="1" spans="1:7" ht="16.3" thickBot="1">
      <c r="A1" s="12" t="s">
        <v>0</v>
      </c>
      <c r="B1" s="13">
        <v>0.9</v>
      </c>
    </row>
    <row r="2" spans="1:7" ht="15.65">
      <c r="A2" s="14" t="s">
        <v>1</v>
      </c>
      <c r="B2" s="15">
        <v>1</v>
      </c>
      <c r="E2" s="25" t="s">
        <v>2</v>
      </c>
      <c r="F2" s="27">
        <f>D18+D32</f>
        <v>5.6858000000000004</v>
      </c>
      <c r="G2" s="31"/>
    </row>
    <row r="3" spans="1:7" ht="16.3" thickBot="1">
      <c r="A3" s="14" t="s">
        <v>3</v>
      </c>
      <c r="B3" s="15">
        <v>100</v>
      </c>
      <c r="E3" s="26"/>
      <c r="F3" s="28"/>
      <c r="G3" s="32"/>
    </row>
    <row r="4" spans="1:7" ht="16.3" thickBot="1">
      <c r="A4" s="16" t="s">
        <v>4</v>
      </c>
      <c r="B4" s="17">
        <v>40</v>
      </c>
    </row>
    <row r="5" spans="1:7" ht="15.65">
      <c r="A5" s="12" t="s">
        <v>5</v>
      </c>
      <c r="B5" s="18">
        <v>0</v>
      </c>
      <c r="E5" s="1"/>
    </row>
    <row r="6" spans="1:7" ht="15.65">
      <c r="A6" s="14" t="s">
        <v>6</v>
      </c>
      <c r="B6" s="19">
        <v>0</v>
      </c>
      <c r="E6" s="2"/>
    </row>
    <row r="7" spans="1:7" ht="16.3" thickBot="1">
      <c r="A7" s="20" t="s">
        <v>7</v>
      </c>
      <c r="B7" s="21">
        <v>0</v>
      </c>
      <c r="D7" s="3"/>
    </row>
    <row r="9" spans="1:7">
      <c r="A9" s="4" t="s">
        <v>8</v>
      </c>
      <c r="B9" s="4" t="s">
        <v>9</v>
      </c>
      <c r="C9" s="5"/>
      <c r="D9" s="4" t="s">
        <v>10</v>
      </c>
    </row>
    <row r="10" spans="1:7">
      <c r="A10" s="6">
        <v>75</v>
      </c>
      <c r="B10" s="22">
        <f>B4</f>
        <v>40</v>
      </c>
      <c r="C10" s="7"/>
      <c r="D10" s="6">
        <f>A10/B10</f>
        <v>1.875</v>
      </c>
    </row>
    <row r="12" spans="1:7">
      <c r="A12" s="4" t="s">
        <v>11</v>
      </c>
      <c r="B12" s="4" t="s">
        <v>12</v>
      </c>
      <c r="C12" s="4" t="s">
        <v>13</v>
      </c>
      <c r="D12" s="4" t="s">
        <v>14</v>
      </c>
    </row>
    <row r="13" spans="1:7">
      <c r="A13" s="6">
        <v>1.8</v>
      </c>
      <c r="B13" s="7">
        <f>B1</f>
        <v>0.9</v>
      </c>
      <c r="C13" s="7">
        <f>B2</f>
        <v>1</v>
      </c>
      <c r="D13" s="7">
        <f>(A13*B13)/C13</f>
        <v>1.62</v>
      </c>
    </row>
    <row r="15" spans="1:7">
      <c r="A15" s="4" t="s">
        <v>15</v>
      </c>
      <c r="B15" s="4" t="s">
        <v>3</v>
      </c>
      <c r="C15" s="4"/>
      <c r="D15" s="4" t="s">
        <v>10</v>
      </c>
    </row>
    <row r="16" spans="1:7">
      <c r="A16" s="6">
        <v>200</v>
      </c>
      <c r="B16" s="7">
        <f>B3</f>
        <v>100</v>
      </c>
      <c r="C16" s="7"/>
      <c r="D16" s="6">
        <f>A16/B16</f>
        <v>2</v>
      </c>
    </row>
    <row r="18" spans="1:4">
      <c r="B18" s="29" t="s">
        <v>16</v>
      </c>
      <c r="C18" s="30"/>
      <c r="D18" s="8">
        <f>((D10+D13)/B2)+D16</f>
        <v>5.4950000000000001</v>
      </c>
    </row>
    <row r="20" spans="1:4">
      <c r="A20" s="9" t="s">
        <v>19</v>
      </c>
      <c r="B20" s="9"/>
      <c r="C20" s="9"/>
      <c r="D20" s="9" t="s">
        <v>20</v>
      </c>
    </row>
    <row r="21" spans="1:4">
      <c r="A21" s="6">
        <v>4</v>
      </c>
      <c r="B21" s="10">
        <v>5.2999999999999999E-2</v>
      </c>
      <c r="C21" s="7"/>
      <c r="D21" s="6">
        <f>A21*B21*B1</f>
        <v>0.1908</v>
      </c>
    </row>
    <row r="23" spans="1:4">
      <c r="A23" s="9" t="s">
        <v>17</v>
      </c>
      <c r="B23" s="9" t="s">
        <v>18</v>
      </c>
      <c r="C23" s="9"/>
      <c r="D23" s="9" t="s">
        <v>20</v>
      </c>
    </row>
    <row r="24" spans="1:4">
      <c r="A24" s="6">
        <v>40</v>
      </c>
      <c r="B24" s="7">
        <v>0</v>
      </c>
      <c r="C24" s="7"/>
      <c r="D24" s="6">
        <f>IF(OR(B5="",B5=0),0,A24/B5)</f>
        <v>0</v>
      </c>
    </row>
    <row r="26" spans="1:4">
      <c r="A26" s="9" t="s">
        <v>6</v>
      </c>
      <c r="B26" s="9" t="s">
        <v>21</v>
      </c>
      <c r="C26" s="9"/>
      <c r="D26" s="9"/>
    </row>
    <row r="27" spans="1:4">
      <c r="A27" s="6">
        <v>40</v>
      </c>
      <c r="B27" s="7">
        <f>B6</f>
        <v>0</v>
      </c>
      <c r="C27" s="7"/>
      <c r="D27" s="6">
        <f>IF(OR(B6="",B6=0),0,A27/B6)</f>
        <v>0</v>
      </c>
    </row>
    <row r="29" spans="1:4">
      <c r="A29" s="9" t="s">
        <v>7</v>
      </c>
      <c r="B29" s="9" t="s">
        <v>21</v>
      </c>
      <c r="C29" s="9"/>
      <c r="D29" s="9"/>
    </row>
    <row r="30" spans="1:4">
      <c r="A30" s="6">
        <v>40</v>
      </c>
      <c r="B30" s="7">
        <f>B7</f>
        <v>0</v>
      </c>
      <c r="C30" s="7"/>
      <c r="D30" s="6">
        <f>IF(OR(B7="",B7=0),0,A30/B7)</f>
        <v>0</v>
      </c>
    </row>
    <row r="32" spans="1:4">
      <c r="B32" s="29" t="s">
        <v>22</v>
      </c>
      <c r="C32" s="30"/>
      <c r="D32" s="11">
        <f>SUM(D21+D24+D27+D30)</f>
        <v>0.1908</v>
      </c>
    </row>
  </sheetData>
  <mergeCells count="4">
    <mergeCell ref="E2:E3"/>
    <mergeCell ref="F2:G3"/>
    <mergeCell ref="B18:C18"/>
    <mergeCell ref="B32:C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8305-05DA-466E-BE14-AC1D8DBA9013}">
  <dimension ref="A1:G32"/>
  <sheetViews>
    <sheetView workbookViewId="0">
      <selection activeCell="H30" sqref="H30"/>
    </sheetView>
  </sheetViews>
  <sheetFormatPr defaultRowHeight="15.05"/>
  <cols>
    <col min="1" max="1" width="17.21875" customWidth="1"/>
    <col min="2" max="2" width="12.21875" customWidth="1"/>
    <col min="5" max="5" width="13.109375" customWidth="1"/>
  </cols>
  <sheetData>
    <row r="1" spans="1:7" ht="16.3" thickBot="1">
      <c r="A1" s="12" t="s">
        <v>0</v>
      </c>
      <c r="B1" s="13">
        <v>0.35</v>
      </c>
    </row>
    <row r="2" spans="1:7" ht="15.65">
      <c r="A2" s="14" t="s">
        <v>1</v>
      </c>
      <c r="B2" s="15">
        <v>2</v>
      </c>
      <c r="E2" s="25" t="s">
        <v>2</v>
      </c>
      <c r="F2" s="27">
        <f>D18+D32</f>
        <v>0.84699999999999998</v>
      </c>
      <c r="G2" s="31"/>
    </row>
    <row r="3" spans="1:7" ht="16.3" thickBot="1">
      <c r="A3" s="14" t="s">
        <v>3</v>
      </c>
      <c r="B3" s="15">
        <v>5000</v>
      </c>
      <c r="E3" s="26"/>
      <c r="F3" s="28"/>
      <c r="G3" s="32"/>
    </row>
    <row r="4" spans="1:7" ht="16.3" thickBot="1">
      <c r="A4" s="16" t="s">
        <v>4</v>
      </c>
      <c r="B4" s="17">
        <v>40</v>
      </c>
    </row>
    <row r="5" spans="1:7" ht="15.65">
      <c r="A5" s="12" t="s">
        <v>5</v>
      </c>
      <c r="B5" s="18">
        <v>0</v>
      </c>
      <c r="E5" s="1"/>
    </row>
    <row r="6" spans="1:7" ht="15.65">
      <c r="A6" s="14" t="s">
        <v>6</v>
      </c>
      <c r="B6" s="19">
        <v>0</v>
      </c>
      <c r="E6" s="2"/>
    </row>
    <row r="7" spans="1:7" ht="16.3" thickBot="1">
      <c r="A7" s="20" t="s">
        <v>7</v>
      </c>
      <c r="B7" s="21">
        <v>0</v>
      </c>
      <c r="D7" s="3"/>
    </row>
    <row r="9" spans="1:7">
      <c r="A9" s="4" t="s">
        <v>8</v>
      </c>
      <c r="B9" s="4" t="s">
        <v>9</v>
      </c>
      <c r="C9" s="5"/>
      <c r="D9" s="4" t="s">
        <v>10</v>
      </c>
    </row>
    <row r="10" spans="1:7">
      <c r="A10" s="6">
        <v>60</v>
      </c>
      <c r="B10" s="22">
        <f>B4</f>
        <v>40</v>
      </c>
      <c r="C10" s="7"/>
      <c r="D10" s="6">
        <f>A10/B10</f>
        <v>1.5</v>
      </c>
    </row>
    <row r="12" spans="1:7">
      <c r="A12" s="4" t="s">
        <v>11</v>
      </c>
      <c r="B12" s="4" t="s">
        <v>12</v>
      </c>
      <c r="C12" s="4" t="s">
        <v>13</v>
      </c>
      <c r="D12" s="4" t="s">
        <v>14</v>
      </c>
    </row>
    <row r="13" spans="1:7">
      <c r="A13" s="6">
        <v>0.28000000000000003</v>
      </c>
      <c r="B13" s="7">
        <f>B1</f>
        <v>0.35</v>
      </c>
      <c r="C13" s="7">
        <f>B2</f>
        <v>2</v>
      </c>
      <c r="D13" s="7">
        <f>(A13*B13)/C13</f>
        <v>4.9000000000000002E-2</v>
      </c>
    </row>
    <row r="15" spans="1:7">
      <c r="A15" s="4" t="s">
        <v>15</v>
      </c>
      <c r="B15" s="4" t="s">
        <v>3</v>
      </c>
      <c r="C15" s="4"/>
      <c r="D15" s="4" t="s">
        <v>10</v>
      </c>
    </row>
    <row r="16" spans="1:7">
      <c r="A16" s="6">
        <v>100</v>
      </c>
      <c r="B16" s="7">
        <f>B3</f>
        <v>5000</v>
      </c>
      <c r="C16" s="7"/>
      <c r="D16" s="6">
        <f>A16/B16</f>
        <v>0.02</v>
      </c>
    </row>
    <row r="18" spans="1:4">
      <c r="B18" s="29" t="s">
        <v>16</v>
      </c>
      <c r="C18" s="30"/>
      <c r="D18" s="8">
        <f>((D10+D13)/B2)+D16</f>
        <v>0.79449999999999998</v>
      </c>
    </row>
    <row r="20" spans="1:4">
      <c r="A20" s="9" t="s">
        <v>19</v>
      </c>
      <c r="B20" s="9"/>
      <c r="C20" s="9"/>
      <c r="D20" s="9" t="s">
        <v>20</v>
      </c>
    </row>
    <row r="21" spans="1:4">
      <c r="A21" s="6">
        <v>3</v>
      </c>
      <c r="B21" s="10">
        <v>0.05</v>
      </c>
      <c r="C21" s="7"/>
      <c r="D21" s="6">
        <f>A21*B21*B1</f>
        <v>5.2500000000000005E-2</v>
      </c>
    </row>
    <row r="23" spans="1:4">
      <c r="A23" s="9" t="s">
        <v>17</v>
      </c>
      <c r="B23" s="9" t="s">
        <v>18</v>
      </c>
      <c r="C23" s="9"/>
      <c r="D23" s="9" t="s">
        <v>20</v>
      </c>
    </row>
    <row r="24" spans="1:4">
      <c r="A24" s="6">
        <v>40</v>
      </c>
      <c r="B24" s="7">
        <v>0</v>
      </c>
      <c r="C24" s="7"/>
      <c r="D24" s="6">
        <f>IF(OR(B5="",B5=0),0,A24/B5)</f>
        <v>0</v>
      </c>
    </row>
    <row r="26" spans="1:4">
      <c r="A26" s="9" t="s">
        <v>6</v>
      </c>
      <c r="B26" s="9" t="s">
        <v>21</v>
      </c>
      <c r="C26" s="9"/>
      <c r="D26" s="9"/>
    </row>
    <row r="27" spans="1:4">
      <c r="A27" s="6">
        <v>40</v>
      </c>
      <c r="B27" s="7">
        <f>B6</f>
        <v>0</v>
      </c>
      <c r="C27" s="7"/>
      <c r="D27" s="6">
        <f>IF(OR(B6="",B6=0),0,A27/B6)</f>
        <v>0</v>
      </c>
    </row>
    <row r="29" spans="1:4">
      <c r="A29" s="9" t="s">
        <v>7</v>
      </c>
      <c r="B29" s="9" t="s">
        <v>21</v>
      </c>
      <c r="C29" s="9"/>
      <c r="D29" s="9"/>
    </row>
    <row r="30" spans="1:4">
      <c r="A30" s="6">
        <v>40</v>
      </c>
      <c r="B30" s="7">
        <f>B7</f>
        <v>0</v>
      </c>
      <c r="C30" s="7"/>
      <c r="D30" s="6">
        <f>IF(OR(B7="",B7=0),0,A30/B7)</f>
        <v>0</v>
      </c>
    </row>
    <row r="32" spans="1:4">
      <c r="B32" s="29" t="s">
        <v>22</v>
      </c>
      <c r="C32" s="30"/>
      <c r="D32" s="11">
        <f>SUM(D21+D24+D27+D30)</f>
        <v>5.2500000000000005E-2</v>
      </c>
    </row>
  </sheetData>
  <mergeCells count="4">
    <mergeCell ref="E2:E3"/>
    <mergeCell ref="F2:G3"/>
    <mergeCell ref="B18:C18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DISTRIBUT</vt:lpstr>
      <vt:lpstr>CERABEADS</vt:lpstr>
      <vt:lpstr>SABBIA 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todescato</dc:creator>
  <cp:lastModifiedBy>Fabio</cp:lastModifiedBy>
  <dcterms:created xsi:type="dcterms:W3CDTF">2019-02-11T08:48:54Z</dcterms:created>
  <dcterms:modified xsi:type="dcterms:W3CDTF">2025-12-15T11:40:26Z</dcterms:modified>
</cp:coreProperties>
</file>